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gyetem\rhodo\remo-2025-rhododendron\"/>
    </mc:Choice>
  </mc:AlternateContent>
  <xr:revisionPtr revIDLastSave="0" documentId="13_ncr:1_{2590FB7D-5E1A-4EAA-8BA0-CE3287EAA03C}" xr6:coauthVersionLast="47" xr6:coauthVersionMax="47" xr10:uidLastSave="{00000000-0000-0000-0000-000000000000}"/>
  <bookViews>
    <workbookView xWindow="-120" yWindow="-120" windowWidth="29040" windowHeight="15720" activeTab="1" xr2:uid="{E2A3994C-AEB3-476E-B309-48BCFFDC7F92}"/>
  </bookViews>
  <sheets>
    <sheet name="FMEA Diagram" sheetId="2" r:id="rId1"/>
    <sheet name="FME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5" i="1"/>
  <c r="K14" i="1"/>
  <c r="K22" i="1"/>
  <c r="K21" i="1"/>
  <c r="K20" i="1"/>
  <c r="K10" i="1"/>
  <c r="K9" i="1"/>
  <c r="K12" i="1"/>
  <c r="K17" i="1"/>
  <c r="K8" i="1"/>
  <c r="K7" i="1"/>
  <c r="K6" i="1"/>
  <c r="K19" i="1"/>
  <c r="K18" i="1"/>
  <c r="K16" i="1"/>
  <c r="K13" i="1"/>
  <c r="K5" i="1"/>
  <c r="K3" i="1"/>
  <c r="K4" i="1"/>
</calcChain>
</file>

<file path=xl/sharedStrings.xml><?xml version="1.0" encoding="utf-8"?>
<sst xmlns="http://schemas.openxmlformats.org/spreadsheetml/2006/main" count="173" uniqueCount="135">
  <si>
    <t>ID</t>
  </si>
  <si>
    <t>Design Item</t>
  </si>
  <si>
    <t>Failure Mode</t>
  </si>
  <si>
    <t>Severity</t>
  </si>
  <si>
    <t>Potential Effects of Failure</t>
  </si>
  <si>
    <t>Potential Cause</t>
  </si>
  <si>
    <t>Occurance</t>
  </si>
  <si>
    <t>Current Process Control to Prevent Failure Mode</t>
  </si>
  <si>
    <t>Detection</t>
  </si>
  <si>
    <t>RPN</t>
  </si>
  <si>
    <t>Action Recommended</t>
  </si>
  <si>
    <t>Drone Failure Mode and Effect Analysis</t>
  </si>
  <si>
    <t>X01</t>
  </si>
  <si>
    <t>Propeller</t>
  </si>
  <si>
    <t xml:space="preserve">Lack of preactive maintenance and overusage </t>
  </si>
  <si>
    <t>Following prescribed maintenance time limits</t>
  </si>
  <si>
    <t>Sending diagnostic data and using algorithm to recover flying infromation about the rotor's state</t>
  </si>
  <si>
    <t>Emergency landing in case of detection and immediate maintenance</t>
  </si>
  <si>
    <t>X02</t>
  </si>
  <si>
    <t>Cracking</t>
  </si>
  <si>
    <t>X03</t>
  </si>
  <si>
    <t>Engine</t>
  </si>
  <si>
    <t>Bearing malfunction</t>
  </si>
  <si>
    <t>Not spinning</t>
  </si>
  <si>
    <t>Lack of preactive maintenance and overusage. Shortage of energy and overheating</t>
  </si>
  <si>
    <t>Unstable flight</t>
  </si>
  <si>
    <t>Following prescribed maintenance time limits and ensuring charging times</t>
  </si>
  <si>
    <t>X04</t>
  </si>
  <si>
    <t>Loss of Power</t>
  </si>
  <si>
    <t>Primary Battery</t>
  </si>
  <si>
    <t>Components not working and potential crash of the drone</t>
  </si>
  <si>
    <t>Physical malfunctioning and lack of charge</t>
  </si>
  <si>
    <t>Sending diagnostic data about the battery's charge level</t>
  </si>
  <si>
    <t>Turn on Secondary Battery for emergency landing. Calculate the battery's health based on the diagnostic data on the operators' computers</t>
  </si>
  <si>
    <t>X05</t>
  </si>
  <si>
    <t>Secondary Battery</t>
  </si>
  <si>
    <t>Loss of Power while  the Primary Battery works</t>
  </si>
  <si>
    <t>Can't withhold the defect of the Primary Battery</t>
  </si>
  <si>
    <t>Batteries</t>
  </si>
  <si>
    <t>X06</t>
  </si>
  <si>
    <t>Total Loss of Power</t>
  </si>
  <si>
    <t>Fall of the drone, crash</t>
  </si>
  <si>
    <t>At the next stop repair is needed. Calculate the battery's health based on the diagnostic data on the operators' computers</t>
  </si>
  <si>
    <t>Continuous dignostic analysis of the batteries</t>
  </si>
  <si>
    <t>X07</t>
  </si>
  <si>
    <t>Batteries, Charge Socket</t>
  </si>
  <si>
    <t>Not charging</t>
  </si>
  <si>
    <t>Unable to deliver package</t>
  </si>
  <si>
    <t>Physical malfunctioning and charger not connected properly, socket is dirty</t>
  </si>
  <si>
    <t>Maintenance of the charger</t>
  </si>
  <si>
    <t>Checking battery levels before departure</t>
  </si>
  <si>
    <t>X08</t>
  </si>
  <si>
    <t>False data</t>
  </si>
  <si>
    <t>Bad navigation to the control points and unstable flight</t>
  </si>
  <si>
    <t xml:space="preserve">Physical malfunctioning </t>
  </si>
  <si>
    <t>Redundancy of the amount of Gyroscope Sensors</t>
  </si>
  <si>
    <t>Sending diagnostic data and using algorithm to recover flying infromation</t>
  </si>
  <si>
    <t>Gyroscopes</t>
  </si>
  <si>
    <t>Recalibration, maintenance and emergency landing if needed</t>
  </si>
  <si>
    <t>X09</t>
  </si>
  <si>
    <t>GPS</t>
  </si>
  <si>
    <t>None</t>
  </si>
  <si>
    <t>X10</t>
  </si>
  <si>
    <t>IR Sensor</t>
  </si>
  <si>
    <t>Inappropriate object detection, unstable landing</t>
  </si>
  <si>
    <t>Physical malfunctioning, dirty sensor</t>
  </si>
  <si>
    <t>Cleaning</t>
  </si>
  <si>
    <t>Checked during maintenance</t>
  </si>
  <si>
    <t>Maintenance, keep the chance of an emergency landing low</t>
  </si>
  <si>
    <t>X11</t>
  </si>
  <si>
    <t>Radio Module</t>
  </si>
  <si>
    <t>Signal loss</t>
  </si>
  <si>
    <t>Interference and antenna failure</t>
  </si>
  <si>
    <t>Loss of data and command</t>
  </si>
  <si>
    <t xml:space="preserve">Ensuring the availabilty of the satellite system </t>
  </si>
  <si>
    <t>Maintenance, use communication protocol that acknowledges packets</t>
  </si>
  <si>
    <t>X12</t>
  </si>
  <si>
    <t>System Wires</t>
  </si>
  <si>
    <t>Disconnection of Components</t>
  </si>
  <si>
    <t>Loss of data and command, unstable flight or even crash of the drone</t>
  </si>
  <si>
    <t>Physical malfunction, overheating, interference</t>
  </si>
  <si>
    <t xml:space="preserve">Using high quality wires, using proper insulation. Not creating SPoF between components </t>
  </si>
  <si>
    <t>X13</t>
  </si>
  <si>
    <t>System</t>
  </si>
  <si>
    <t>Overheating</t>
  </si>
  <si>
    <t>Malfunctioning of components</t>
  </si>
  <si>
    <t xml:space="preserve">Physical malfunction, using the drone in extreme heat or for too long </t>
  </si>
  <si>
    <t xml:space="preserve">Using the wind as venting and creating slots for the heat to escape via convection. Use of thermalconductive metals and surface are a maximalization for components. </t>
  </si>
  <si>
    <t>The maintenance crew checks the heat of the the drone while it's in the landing station. Use of cooling system and temperature sensors might be necessary in further development.</t>
  </si>
  <si>
    <t>X14</t>
  </si>
  <si>
    <t>Environment</t>
  </si>
  <si>
    <t>Aerial Obstacles</t>
  </si>
  <si>
    <t>Unstable flight, potential damage inflicted on the components</t>
  </si>
  <si>
    <t>Bird flock</t>
  </si>
  <si>
    <t>Not flying too high, no noise reduction</t>
  </si>
  <si>
    <t>Recovery of damage</t>
  </si>
  <si>
    <t>X15</t>
  </si>
  <si>
    <t>Pad Connector</t>
  </si>
  <si>
    <t>Connection failure</t>
  </si>
  <si>
    <t>Physical malfunctioning and pad not connected properly, socket is dirty</t>
  </si>
  <si>
    <t>Maintenance of the pad</t>
  </si>
  <si>
    <t>Checking package data before departure</t>
  </si>
  <si>
    <t>X16</t>
  </si>
  <si>
    <t>Package Container</t>
  </si>
  <si>
    <t>Does Not Open / Breaks</t>
  </si>
  <si>
    <t>Mechanical fatigue</t>
  </si>
  <si>
    <t>Usage of the container for its intended purpose</t>
  </si>
  <si>
    <t>Maintenance crew checks while the drone is in the station.</t>
  </si>
  <si>
    <t>Repair</t>
  </si>
  <si>
    <t>X17</t>
  </si>
  <si>
    <t>CPU</t>
  </si>
  <si>
    <t>No output signal</t>
  </si>
  <si>
    <t>Rotor stops, drone becomes unstable</t>
  </si>
  <si>
    <t>Component failure</t>
  </si>
  <si>
    <t>Using high quality CPU</t>
  </si>
  <si>
    <t>Sending diagnostic data</t>
  </si>
  <si>
    <t>Replacement of the CPU</t>
  </si>
  <si>
    <t>CPUs</t>
  </si>
  <si>
    <t>Freezes / Bad Logic</t>
  </si>
  <si>
    <t>Software failure, memory issues</t>
  </si>
  <si>
    <t>Using high quality CPU, proper development of software by professionals and testing of the software</t>
  </si>
  <si>
    <t>Sending diagnostic data and testing</t>
  </si>
  <si>
    <t>Refactoring code, writing tests (CI/CD)</t>
  </si>
  <si>
    <t>X18</t>
  </si>
  <si>
    <t>X19</t>
  </si>
  <si>
    <t>Loss of control</t>
  </si>
  <si>
    <t>System shuts down, unstable flight</t>
  </si>
  <si>
    <t>Physical or Logical failure of both CPUs.</t>
  </si>
  <si>
    <t>Redundancy of the amount of CPUs</t>
  </si>
  <si>
    <t>Damage control</t>
  </si>
  <si>
    <t>X20</t>
  </si>
  <si>
    <t xml:space="preserve">Physical malfunctioning, vibration </t>
  </si>
  <si>
    <t>Bad navigation to the control points and loss of stabilization</t>
  </si>
  <si>
    <t>Rotor stops, dronem unsafe behaviour</t>
  </si>
  <si>
    <t>Current Process Control to Detect Failure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</si>
</sst>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'\X\'00"/>
  </numFmts>
  <fonts count="3" x14ac:knownFonts="1"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164" fontId="0" fillId="0" borderId="6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ál" xfId="0" builtinId="0"/>
  </cellStyles>
  <dxfs count="14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'\X\'00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RPN Values of Drone's</a:t>
            </a:r>
            <a:r>
              <a:rPr lang="hu-HU" baseline="0"/>
              <a:t> Failure Modes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FMEA!$A$3:$A$22</c:f>
              <c:strCache>
                <c:ptCount val="20"/>
                <c:pt idx="0">
                  <c:v>X03</c:v>
                </c:pt>
                <c:pt idx="1">
                  <c:v>X01</c:v>
                </c:pt>
                <c:pt idx="2">
                  <c:v>X02</c:v>
                </c:pt>
                <c:pt idx="3">
                  <c:v>X11</c:v>
                </c:pt>
                <c:pt idx="4">
                  <c:v>X12</c:v>
                </c:pt>
                <c:pt idx="5">
                  <c:v>X13</c:v>
                </c:pt>
                <c:pt idx="6">
                  <c:v>X16</c:v>
                </c:pt>
                <c:pt idx="7">
                  <c:v>X17</c:v>
                </c:pt>
                <c:pt idx="8">
                  <c:v>X06</c:v>
                </c:pt>
                <c:pt idx="9">
                  <c:v>X15</c:v>
                </c:pt>
                <c:pt idx="10">
                  <c:v>X07</c:v>
                </c:pt>
                <c:pt idx="11">
                  <c:v>X04</c:v>
                </c:pt>
                <c:pt idx="12">
                  <c:v>X05</c:v>
                </c:pt>
                <c:pt idx="13">
                  <c:v>X08</c:v>
                </c:pt>
                <c:pt idx="14">
                  <c:v>X14</c:v>
                </c:pt>
                <c:pt idx="15">
                  <c:v>X09</c:v>
                </c:pt>
                <c:pt idx="16">
                  <c:v>X10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FMEA!$K$3:$K$22</c:f>
              <c:numCache>
                <c:formatCode>General</c:formatCode>
                <c:ptCount val="20"/>
                <c:pt idx="0">
                  <c:v>72</c:v>
                </c:pt>
                <c:pt idx="1">
                  <c:v>60</c:v>
                </c:pt>
                <c:pt idx="2">
                  <c:v>60</c:v>
                </c:pt>
                <c:pt idx="3">
                  <c:v>30</c:v>
                </c:pt>
                <c:pt idx="4">
                  <c:v>30</c:v>
                </c:pt>
                <c:pt idx="5">
                  <c:v>27</c:v>
                </c:pt>
                <c:pt idx="6">
                  <c:v>24</c:v>
                </c:pt>
                <c:pt idx="7">
                  <c:v>24</c:v>
                </c:pt>
                <c:pt idx="8">
                  <c:v>20</c:v>
                </c:pt>
                <c:pt idx="9">
                  <c:v>20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A-4DB3-9128-9CB3422F0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350256"/>
        <c:axId val="1581347376"/>
      </c:barChart>
      <c:catAx>
        <c:axId val="158135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81347376"/>
        <c:crosses val="autoZero"/>
        <c:auto val="1"/>
        <c:lblAlgn val="ctr"/>
        <c:lblOffset val="100"/>
        <c:noMultiLvlLbl val="0"/>
      </c:catAx>
      <c:valAx>
        <c:axId val="158134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8135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59AD4B-9579-45B0-B381-048479BAC8A0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5174B80-299F-5C29-7B25-2E7A00D81C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F3CECC-B976-4A23-8F6C-98A2EB61A707}" name="Táblázat3" displayName="Táblázat3" ref="A2:L22" totalsRowShown="0" headerRowDxfId="0" tableBorderDxfId="13">
  <autoFilter ref="A2:L22" xr:uid="{01F3CECC-B976-4A23-8F6C-98A2EB61A707}"/>
  <sortState xmlns:xlrd2="http://schemas.microsoft.com/office/spreadsheetml/2017/richdata2" ref="A3:L22">
    <sortCondition descending="1" ref="K2:K22"/>
  </sortState>
  <tableColumns count="12">
    <tableColumn id="1" xr3:uid="{DC571B58-A512-4392-B162-4A6BE688EA75}" name="ID" dataDxfId="12"/>
    <tableColumn id="2" xr3:uid="{ABEE5B55-C2D2-4EF2-AA95-98FC9DC0D014}" name="Design Item" dataDxfId="11"/>
    <tableColumn id="3" xr3:uid="{EEABA36E-8D4A-4E94-96F6-BDA912D53C67}" name="Failure Mode" dataDxfId="10"/>
    <tableColumn id="4" xr3:uid="{B3E2D139-7825-48F7-A8CA-52703FB56787}" name="Potential Effects of Failure" dataDxfId="9"/>
    <tableColumn id="5" xr3:uid="{F20D42CB-EE4A-4447-BE22-5BF413FD41A1}" name="Severity" dataDxfId="8"/>
    <tableColumn id="6" xr3:uid="{56E80586-91A5-42FB-9C13-8EABB1C47FE0}" name="Potential Cause" dataDxfId="7"/>
    <tableColumn id="7" xr3:uid="{F31201FD-105A-4538-BAA9-5C79A6FE250A}" name="Occurance" dataDxfId="6"/>
    <tableColumn id="8" xr3:uid="{44FF4169-0008-4744-A9D1-98B825505A2D}" name="Current Process Control to Prevent Failure Mode" dataDxfId="5"/>
    <tableColumn id="9" xr3:uid="{D85E5C92-8AE0-44D8-A2B4-48885667232D}" name="Current Process Control to Detect Failure Mode" dataDxfId="4"/>
    <tableColumn id="10" xr3:uid="{1FA1F3FF-CC1C-4ABD-9043-DC05B339007D}" name="Detection" dataDxfId="3"/>
    <tableColumn id="11" xr3:uid="{263B6B2E-CE9C-4509-BC26-9DFACDFD56BF}" name="RPN" dataDxfId="2">
      <calculatedColumnFormula>E3*G3*J3</calculatedColumnFormula>
    </tableColumn>
    <tableColumn id="12" xr3:uid="{44C9E9FF-9DD1-479F-8961-A61DE15A386F}" name="Action Recommended" dataDxfId="1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A701-9EFD-43EE-A674-31975DC5259A}">
  <dimension ref="A1:P23"/>
  <sheetViews>
    <sheetView tabSelected="1" topLeftCell="G1" zoomScale="145" zoomScaleNormal="145" workbookViewId="0">
      <selection activeCell="P4" sqref="P4"/>
    </sheetView>
  </sheetViews>
  <sheetFormatPr defaultRowHeight="15" x14ac:dyDescent="0.25"/>
  <cols>
    <col min="1" max="1" width="4.140625" bestFit="1" customWidth="1"/>
    <col min="2" max="2" width="12.5703125" customWidth="1"/>
    <col min="3" max="3" width="14.42578125" customWidth="1"/>
    <col min="4" max="4" width="24.7109375" customWidth="1"/>
    <col min="5" max="5" width="8" customWidth="1"/>
    <col min="6" max="6" width="16.42578125" customWidth="1"/>
    <col min="7" max="7" width="10.140625" customWidth="1"/>
    <col min="8" max="8" width="29.5703125" customWidth="1"/>
    <col min="9" max="9" width="28.42578125" customWidth="1"/>
    <col min="10" max="10" width="9.7109375" customWidth="1"/>
    <col min="11" max="11" width="9.42578125" customWidth="1"/>
    <col min="12" max="12" width="21.140625" customWidth="1"/>
    <col min="15" max="16" width="9.28515625" customWidth="1"/>
  </cols>
  <sheetData>
    <row r="1" spans="1:16" ht="24.75" customHeight="1" x14ac:dyDescent="0.25">
      <c r="A1" s="13" t="s">
        <v>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2"/>
    </row>
    <row r="2" spans="1:16" s="1" customFormat="1" ht="25.5" customHeight="1" x14ac:dyDescent="0.25">
      <c r="A2" s="16" t="s">
        <v>0</v>
      </c>
      <c r="B2" s="17" t="s">
        <v>1</v>
      </c>
      <c r="C2" s="17" t="s">
        <v>2</v>
      </c>
      <c r="D2" s="17" t="s">
        <v>4</v>
      </c>
      <c r="E2" s="17" t="s">
        <v>3</v>
      </c>
      <c r="F2" s="17" t="s">
        <v>5</v>
      </c>
      <c r="G2" s="17" t="s">
        <v>6</v>
      </c>
      <c r="H2" s="15" t="s">
        <v>7</v>
      </c>
      <c r="I2" s="16" t="s">
        <v>134</v>
      </c>
      <c r="J2" s="17" t="s">
        <v>8</v>
      </c>
      <c r="K2" s="17" t="s">
        <v>9</v>
      </c>
      <c r="L2" s="15" t="s">
        <v>10</v>
      </c>
    </row>
    <row r="3" spans="1:16" s="2" customFormat="1" ht="90" x14ac:dyDescent="0.25">
      <c r="A3" s="7" t="s">
        <v>20</v>
      </c>
      <c r="B3" s="3" t="s">
        <v>21</v>
      </c>
      <c r="C3" s="3" t="s">
        <v>23</v>
      </c>
      <c r="D3" s="3" t="s">
        <v>25</v>
      </c>
      <c r="E3" s="4">
        <v>6</v>
      </c>
      <c r="F3" s="3" t="s">
        <v>24</v>
      </c>
      <c r="G3" s="4">
        <v>6</v>
      </c>
      <c r="H3" s="3" t="s">
        <v>26</v>
      </c>
      <c r="I3" s="3" t="s">
        <v>16</v>
      </c>
      <c r="J3" s="4">
        <v>2</v>
      </c>
      <c r="K3" s="4">
        <f>E3*G3*J3</f>
        <v>72</v>
      </c>
      <c r="L3" s="8" t="s">
        <v>17</v>
      </c>
      <c r="O3" s="18"/>
    </row>
    <row r="4" spans="1:16" s="2" customFormat="1" ht="60" x14ac:dyDescent="0.25">
      <c r="A4" s="7" t="s">
        <v>12</v>
      </c>
      <c r="B4" s="3" t="s">
        <v>13</v>
      </c>
      <c r="C4" s="3" t="s">
        <v>22</v>
      </c>
      <c r="D4" s="3" t="s">
        <v>25</v>
      </c>
      <c r="E4" s="4">
        <v>6</v>
      </c>
      <c r="F4" s="3" t="s">
        <v>14</v>
      </c>
      <c r="G4" s="4">
        <v>5</v>
      </c>
      <c r="H4" s="3" t="s">
        <v>15</v>
      </c>
      <c r="I4" s="3" t="s">
        <v>16</v>
      </c>
      <c r="J4" s="4">
        <v>2</v>
      </c>
      <c r="K4" s="4">
        <f>E4*G4*J4</f>
        <v>60</v>
      </c>
      <c r="L4" s="8" t="s">
        <v>17</v>
      </c>
      <c r="O4" s="18"/>
    </row>
    <row r="5" spans="1:16" s="2" customFormat="1" ht="60" x14ac:dyDescent="0.25">
      <c r="A5" s="7" t="s">
        <v>18</v>
      </c>
      <c r="B5" s="3" t="s">
        <v>13</v>
      </c>
      <c r="C5" s="3" t="s">
        <v>19</v>
      </c>
      <c r="D5" s="3" t="s">
        <v>25</v>
      </c>
      <c r="E5" s="4">
        <v>6</v>
      </c>
      <c r="F5" s="3" t="s">
        <v>14</v>
      </c>
      <c r="G5" s="4">
        <v>5</v>
      </c>
      <c r="H5" s="3" t="s">
        <v>15</v>
      </c>
      <c r="I5" s="3" t="s">
        <v>16</v>
      </c>
      <c r="J5" s="4">
        <v>2</v>
      </c>
      <c r="K5" s="4">
        <f>E5*G5*J5</f>
        <v>60</v>
      </c>
      <c r="L5" s="8" t="s">
        <v>17</v>
      </c>
      <c r="O5" s="19"/>
      <c r="P5" s="1"/>
    </row>
    <row r="6" spans="1:16" s="2" customFormat="1" ht="60" x14ac:dyDescent="0.25">
      <c r="A6" s="7" t="s">
        <v>69</v>
      </c>
      <c r="B6" s="3" t="s">
        <v>57</v>
      </c>
      <c r="C6" s="3" t="s">
        <v>52</v>
      </c>
      <c r="D6" s="3" t="s">
        <v>132</v>
      </c>
      <c r="E6" s="4">
        <v>3</v>
      </c>
      <c r="F6" s="3" t="s">
        <v>131</v>
      </c>
      <c r="G6" s="4">
        <v>2</v>
      </c>
      <c r="H6" s="3" t="s">
        <v>55</v>
      </c>
      <c r="I6" s="3" t="s">
        <v>56</v>
      </c>
      <c r="J6" s="4">
        <v>5</v>
      </c>
      <c r="K6" s="4">
        <f>E6*G6*J6</f>
        <v>30</v>
      </c>
      <c r="L6" s="8" t="s">
        <v>58</v>
      </c>
      <c r="O6" s="18"/>
    </row>
    <row r="7" spans="1:16" s="2" customFormat="1" ht="60" x14ac:dyDescent="0.25">
      <c r="A7" s="7" t="s">
        <v>76</v>
      </c>
      <c r="B7" s="3" t="s">
        <v>60</v>
      </c>
      <c r="C7" s="3" t="s">
        <v>52</v>
      </c>
      <c r="D7" s="3" t="s">
        <v>53</v>
      </c>
      <c r="E7" s="4">
        <v>2</v>
      </c>
      <c r="F7" s="3" t="s">
        <v>54</v>
      </c>
      <c r="G7" s="4">
        <v>3</v>
      </c>
      <c r="H7" s="3" t="s">
        <v>61</v>
      </c>
      <c r="I7" s="3" t="s">
        <v>56</v>
      </c>
      <c r="J7" s="4">
        <v>5</v>
      </c>
      <c r="K7" s="4">
        <f>E7*G7*J7</f>
        <v>30</v>
      </c>
      <c r="L7" s="8" t="s">
        <v>58</v>
      </c>
      <c r="O7" s="18"/>
    </row>
    <row r="8" spans="1:16" s="2" customFormat="1" ht="60" x14ac:dyDescent="0.25">
      <c r="A8" s="7" t="s">
        <v>82</v>
      </c>
      <c r="B8" s="3" t="s">
        <v>63</v>
      </c>
      <c r="C8" s="3" t="s">
        <v>52</v>
      </c>
      <c r="D8" s="3" t="s">
        <v>64</v>
      </c>
      <c r="E8" s="4">
        <v>9</v>
      </c>
      <c r="F8" s="3" t="s">
        <v>65</v>
      </c>
      <c r="G8" s="4">
        <v>1</v>
      </c>
      <c r="H8" s="3" t="s">
        <v>66</v>
      </c>
      <c r="I8" s="3" t="s">
        <v>67</v>
      </c>
      <c r="J8" s="4">
        <v>3</v>
      </c>
      <c r="K8" s="4">
        <f>E8*G8*J8</f>
        <v>27</v>
      </c>
      <c r="L8" s="8" t="s">
        <v>68</v>
      </c>
      <c r="O8" s="18"/>
    </row>
    <row r="9" spans="1:16" s="2" customFormat="1" ht="135" x14ac:dyDescent="0.25">
      <c r="A9" s="7" t="s">
        <v>102</v>
      </c>
      <c r="B9" s="3" t="s">
        <v>83</v>
      </c>
      <c r="C9" s="3" t="s">
        <v>84</v>
      </c>
      <c r="D9" s="3" t="s">
        <v>85</v>
      </c>
      <c r="E9" s="4">
        <v>6</v>
      </c>
      <c r="F9" s="3" t="s">
        <v>86</v>
      </c>
      <c r="G9" s="4">
        <v>1</v>
      </c>
      <c r="H9" s="3" t="s">
        <v>87</v>
      </c>
      <c r="I9" s="3" t="s">
        <v>61</v>
      </c>
      <c r="J9" s="4">
        <v>4</v>
      </c>
      <c r="K9" s="4">
        <f>E9*G9*J9</f>
        <v>24</v>
      </c>
      <c r="L9" s="8" t="s">
        <v>88</v>
      </c>
      <c r="O9" s="18"/>
    </row>
    <row r="10" spans="1:16" s="2" customFormat="1" ht="45" x14ac:dyDescent="0.25">
      <c r="A10" s="7" t="s">
        <v>109</v>
      </c>
      <c r="B10" s="3" t="s">
        <v>90</v>
      </c>
      <c r="C10" s="3" t="s">
        <v>91</v>
      </c>
      <c r="D10" s="3" t="s">
        <v>92</v>
      </c>
      <c r="E10" s="4">
        <v>8</v>
      </c>
      <c r="F10" s="3" t="s">
        <v>93</v>
      </c>
      <c r="G10" s="4">
        <v>1</v>
      </c>
      <c r="H10" s="3" t="s">
        <v>94</v>
      </c>
      <c r="I10" s="3" t="s">
        <v>61</v>
      </c>
      <c r="J10" s="4">
        <v>3</v>
      </c>
      <c r="K10" s="4">
        <f>E10*G10*J10</f>
        <v>24</v>
      </c>
      <c r="L10" s="8" t="s">
        <v>95</v>
      </c>
      <c r="O10" s="18"/>
    </row>
    <row r="11" spans="1:16" s="2" customFormat="1" ht="45" x14ac:dyDescent="0.25">
      <c r="A11" s="7" t="s">
        <v>39</v>
      </c>
      <c r="B11" s="3" t="s">
        <v>117</v>
      </c>
      <c r="C11" s="3" t="s">
        <v>125</v>
      </c>
      <c r="D11" s="3" t="s">
        <v>126</v>
      </c>
      <c r="E11" s="4">
        <v>10</v>
      </c>
      <c r="F11" s="3" t="s">
        <v>127</v>
      </c>
      <c r="G11" s="4">
        <v>1</v>
      </c>
      <c r="H11" s="3" t="s">
        <v>128</v>
      </c>
      <c r="I11" s="3" t="s">
        <v>115</v>
      </c>
      <c r="J11" s="4">
        <v>2</v>
      </c>
      <c r="K11" s="4">
        <f>E11*G11*J11</f>
        <v>20</v>
      </c>
      <c r="L11" s="8" t="s">
        <v>129</v>
      </c>
      <c r="O11" s="18"/>
    </row>
    <row r="12" spans="1:16" s="2" customFormat="1" ht="60" x14ac:dyDescent="0.25">
      <c r="A12" s="7" t="s">
        <v>96</v>
      </c>
      <c r="B12" s="3" t="s">
        <v>77</v>
      </c>
      <c r="C12" s="3" t="s">
        <v>78</v>
      </c>
      <c r="D12" s="3" t="s">
        <v>79</v>
      </c>
      <c r="E12" s="4">
        <v>10</v>
      </c>
      <c r="F12" s="3" t="s">
        <v>80</v>
      </c>
      <c r="G12" s="4">
        <v>1</v>
      </c>
      <c r="H12" s="3" t="s">
        <v>81</v>
      </c>
      <c r="I12" s="3" t="s">
        <v>67</v>
      </c>
      <c r="J12" s="4">
        <v>2</v>
      </c>
      <c r="K12" s="4">
        <f>E12*G12*J12</f>
        <v>20</v>
      </c>
      <c r="L12" s="8" t="s">
        <v>61</v>
      </c>
      <c r="O12" s="18"/>
    </row>
    <row r="13" spans="1:16" s="2" customFormat="1" ht="105" x14ac:dyDescent="0.25">
      <c r="A13" s="7" t="s">
        <v>44</v>
      </c>
      <c r="B13" s="3" t="s">
        <v>29</v>
      </c>
      <c r="C13" s="3" t="s">
        <v>28</v>
      </c>
      <c r="D13" s="3" t="s">
        <v>30</v>
      </c>
      <c r="E13" s="4">
        <v>9</v>
      </c>
      <c r="F13" s="3" t="s">
        <v>31</v>
      </c>
      <c r="G13" s="4">
        <v>2</v>
      </c>
      <c r="H13" s="3" t="s">
        <v>26</v>
      </c>
      <c r="I13" s="3" t="s">
        <v>32</v>
      </c>
      <c r="J13" s="4">
        <v>1</v>
      </c>
      <c r="K13" s="4">
        <f>E13*G13*J13</f>
        <v>18</v>
      </c>
      <c r="L13" s="8" t="s">
        <v>33</v>
      </c>
      <c r="O13" s="18"/>
    </row>
    <row r="14" spans="1:16" s="2" customFormat="1" ht="30" x14ac:dyDescent="0.25">
      <c r="A14" s="7" t="s">
        <v>27</v>
      </c>
      <c r="B14" s="3" t="s">
        <v>110</v>
      </c>
      <c r="C14" s="3" t="s">
        <v>111</v>
      </c>
      <c r="D14" s="3" t="s">
        <v>112</v>
      </c>
      <c r="E14" s="4">
        <v>4</v>
      </c>
      <c r="F14" s="3" t="s">
        <v>113</v>
      </c>
      <c r="G14" s="4">
        <v>2</v>
      </c>
      <c r="H14" s="3" t="s">
        <v>114</v>
      </c>
      <c r="I14" s="3" t="s">
        <v>115</v>
      </c>
      <c r="J14" s="4">
        <v>2</v>
      </c>
      <c r="K14" s="4">
        <f>E14*G14*J14</f>
        <v>16</v>
      </c>
      <c r="L14" s="8" t="s">
        <v>116</v>
      </c>
      <c r="O14" s="18"/>
    </row>
    <row r="15" spans="1:16" s="2" customFormat="1" ht="60" x14ac:dyDescent="0.25">
      <c r="A15" s="7" t="s">
        <v>34</v>
      </c>
      <c r="B15" s="3" t="s">
        <v>110</v>
      </c>
      <c r="C15" s="3" t="s">
        <v>118</v>
      </c>
      <c r="D15" s="3" t="s">
        <v>133</v>
      </c>
      <c r="E15" s="4">
        <v>4</v>
      </c>
      <c r="F15" s="3" t="s">
        <v>119</v>
      </c>
      <c r="G15" s="4">
        <v>2</v>
      </c>
      <c r="H15" s="3" t="s">
        <v>120</v>
      </c>
      <c r="I15" s="3" t="s">
        <v>121</v>
      </c>
      <c r="J15" s="4">
        <v>2</v>
      </c>
      <c r="K15" s="4">
        <f>E15*G15*J15</f>
        <v>16</v>
      </c>
      <c r="L15" s="8" t="s">
        <v>122</v>
      </c>
      <c r="O15" s="18"/>
    </row>
    <row r="16" spans="1:16" s="2" customFormat="1" ht="90" x14ac:dyDescent="0.25">
      <c r="A16" s="7" t="s">
        <v>51</v>
      </c>
      <c r="B16" s="3" t="s">
        <v>35</v>
      </c>
      <c r="C16" s="3" t="s">
        <v>36</v>
      </c>
      <c r="D16" s="3" t="s">
        <v>37</v>
      </c>
      <c r="E16" s="4">
        <v>4</v>
      </c>
      <c r="F16" s="3" t="s">
        <v>31</v>
      </c>
      <c r="G16" s="4">
        <v>4</v>
      </c>
      <c r="H16" s="3" t="s">
        <v>26</v>
      </c>
      <c r="I16" s="3" t="s">
        <v>32</v>
      </c>
      <c r="J16" s="4">
        <v>1</v>
      </c>
      <c r="K16" s="4">
        <f>E16*G16*J16</f>
        <v>16</v>
      </c>
      <c r="L16" s="8" t="s">
        <v>42</v>
      </c>
      <c r="O16" s="18"/>
    </row>
    <row r="17" spans="1:16" s="2" customFormat="1" ht="60" x14ac:dyDescent="0.25">
      <c r="A17" s="7" t="s">
        <v>89</v>
      </c>
      <c r="B17" s="3" t="s">
        <v>70</v>
      </c>
      <c r="C17" s="3" t="s">
        <v>71</v>
      </c>
      <c r="D17" s="3" t="s">
        <v>73</v>
      </c>
      <c r="E17" s="4">
        <v>2</v>
      </c>
      <c r="F17" s="3" t="s">
        <v>72</v>
      </c>
      <c r="G17" s="4">
        <v>4</v>
      </c>
      <c r="H17" s="3" t="s">
        <v>74</v>
      </c>
      <c r="I17" s="3" t="s">
        <v>67</v>
      </c>
      <c r="J17" s="4">
        <v>2</v>
      </c>
      <c r="K17" s="4">
        <f>E17*G17*J17</f>
        <v>16</v>
      </c>
      <c r="L17" s="8" t="s">
        <v>75</v>
      </c>
      <c r="O17" s="18"/>
    </row>
    <row r="18" spans="1:16" s="2" customFormat="1" ht="60" x14ac:dyDescent="0.25">
      <c r="A18" s="7" t="s">
        <v>59</v>
      </c>
      <c r="B18" s="3" t="s">
        <v>38</v>
      </c>
      <c r="C18" s="3" t="s">
        <v>40</v>
      </c>
      <c r="D18" s="3" t="s">
        <v>41</v>
      </c>
      <c r="E18" s="4">
        <v>10</v>
      </c>
      <c r="F18" s="3" t="s">
        <v>31</v>
      </c>
      <c r="G18" s="4">
        <v>1</v>
      </c>
      <c r="H18" s="3" t="s">
        <v>26</v>
      </c>
      <c r="I18" s="3" t="s">
        <v>32</v>
      </c>
      <c r="J18" s="4">
        <v>1</v>
      </c>
      <c r="K18" s="4">
        <f>E18*G18*J18</f>
        <v>10</v>
      </c>
      <c r="L18" s="8" t="s">
        <v>43</v>
      </c>
      <c r="O18" s="18"/>
    </row>
    <row r="19" spans="1:16" s="2" customFormat="1" ht="90" x14ac:dyDescent="0.25">
      <c r="A19" s="7" t="s">
        <v>62</v>
      </c>
      <c r="B19" s="3" t="s">
        <v>45</v>
      </c>
      <c r="C19" s="3" t="s">
        <v>46</v>
      </c>
      <c r="D19" s="3" t="s">
        <v>47</v>
      </c>
      <c r="E19" s="4">
        <v>2</v>
      </c>
      <c r="F19" s="3" t="s">
        <v>48</v>
      </c>
      <c r="G19" s="4">
        <v>1</v>
      </c>
      <c r="H19" s="3" t="s">
        <v>49</v>
      </c>
      <c r="I19" s="3" t="s">
        <v>32</v>
      </c>
      <c r="J19" s="4">
        <v>1</v>
      </c>
      <c r="K19" s="4">
        <f>E19*G19*J19</f>
        <v>2</v>
      </c>
      <c r="L19" s="8" t="s">
        <v>50</v>
      </c>
      <c r="O19" s="18"/>
    </row>
    <row r="20" spans="1:16" s="2" customFormat="1" ht="90" x14ac:dyDescent="0.25">
      <c r="A20" s="7" t="s">
        <v>123</v>
      </c>
      <c r="B20" s="3" t="s">
        <v>97</v>
      </c>
      <c r="C20" s="3" t="s">
        <v>98</v>
      </c>
      <c r="D20" s="3" t="s">
        <v>47</v>
      </c>
      <c r="E20" s="4">
        <v>2</v>
      </c>
      <c r="F20" s="3" t="s">
        <v>99</v>
      </c>
      <c r="G20" s="4">
        <v>1</v>
      </c>
      <c r="H20" s="3" t="s">
        <v>100</v>
      </c>
      <c r="I20" s="3" t="s">
        <v>32</v>
      </c>
      <c r="J20" s="4">
        <v>1</v>
      </c>
      <c r="K20" s="4">
        <f>E20*G20*J20</f>
        <v>2</v>
      </c>
      <c r="L20" s="8" t="s">
        <v>101</v>
      </c>
      <c r="O20" s="18"/>
    </row>
    <row r="21" spans="1:16" s="2" customFormat="1" ht="45" x14ac:dyDescent="0.25">
      <c r="A21" s="7" t="s">
        <v>124</v>
      </c>
      <c r="B21" s="3" t="s">
        <v>103</v>
      </c>
      <c r="C21" s="3" t="s">
        <v>104</v>
      </c>
      <c r="D21" s="3" t="s">
        <v>47</v>
      </c>
      <c r="E21" s="4">
        <v>2</v>
      </c>
      <c r="F21" s="3" t="s">
        <v>105</v>
      </c>
      <c r="G21" s="4">
        <v>1</v>
      </c>
      <c r="H21" s="3" t="s">
        <v>106</v>
      </c>
      <c r="I21" s="3" t="s">
        <v>107</v>
      </c>
      <c r="J21" s="4">
        <v>1</v>
      </c>
      <c r="K21" s="4">
        <f>E21*G21*J21</f>
        <v>2</v>
      </c>
      <c r="L21" s="8" t="s">
        <v>108</v>
      </c>
      <c r="O21" s="18"/>
    </row>
    <row r="22" spans="1:16" s="2" customFormat="1" ht="45" x14ac:dyDescent="0.25">
      <c r="A22" s="9" t="s">
        <v>130</v>
      </c>
      <c r="B22" s="10" t="s">
        <v>103</v>
      </c>
      <c r="C22" s="10" t="s">
        <v>104</v>
      </c>
      <c r="D22" s="10" t="s">
        <v>47</v>
      </c>
      <c r="E22" s="5">
        <v>2</v>
      </c>
      <c r="F22" s="10" t="s">
        <v>105</v>
      </c>
      <c r="G22" s="5">
        <v>1</v>
      </c>
      <c r="H22" s="10" t="s">
        <v>106</v>
      </c>
      <c r="I22" s="10" t="s">
        <v>107</v>
      </c>
      <c r="J22" s="5">
        <v>1</v>
      </c>
      <c r="K22" s="5">
        <f>E22*G22*J22</f>
        <v>2</v>
      </c>
      <c r="L22" s="11" t="s">
        <v>108</v>
      </c>
      <c r="O22" s="18"/>
    </row>
    <row r="23" spans="1:16" x14ac:dyDescent="0.25">
      <c r="K23" s="6"/>
      <c r="O23" s="18"/>
      <c r="P23" s="2"/>
    </row>
  </sheetData>
  <sortState xmlns:xlrd2="http://schemas.microsoft.com/office/spreadsheetml/2017/richdata2" ref="O4:P23">
    <sortCondition descending="1" ref="P4:P23"/>
  </sortState>
  <mergeCells count="1">
    <mergeCell ref="A1:L1"/>
  </mergeCells>
  <phoneticPr fontId="2" type="noConversion"/>
  <conditionalFormatting sqref="E3:E22">
    <cfRule type="colorScale" priority="8">
      <colorScale>
        <cfvo type="num" val="0"/>
        <cfvo type="num" val="5"/>
        <cfvo type="num" val="10"/>
        <color theme="9" tint="-0.249977111117893"/>
        <color rgb="FFFFFF00"/>
        <color rgb="FFFF0000"/>
      </colorScale>
    </cfRule>
  </conditionalFormatting>
  <conditionalFormatting sqref="G3">
    <cfRule type="colorScale" priority="7">
      <colorScale>
        <cfvo type="num" val="0"/>
        <cfvo type="num" val="5"/>
        <cfvo type="num" val="10"/>
        <color theme="9" tint="-0.249977111117893"/>
        <color rgb="FFFFFF00"/>
        <color rgb="FFFF0000"/>
      </colorScale>
    </cfRule>
  </conditionalFormatting>
  <conditionalFormatting sqref="J3:J22">
    <cfRule type="colorScale" priority="6">
      <colorScale>
        <cfvo type="num" val="0"/>
        <cfvo type="num" val="5"/>
        <cfvo type="num" val="10"/>
        <color theme="9" tint="-0.249977111117893"/>
        <color rgb="FFFFFF00"/>
        <color rgb="FFFF0000"/>
      </colorScale>
    </cfRule>
  </conditionalFormatting>
  <conditionalFormatting sqref="G4:G22">
    <cfRule type="colorScale" priority="5">
      <colorScale>
        <cfvo type="num" val="0"/>
        <cfvo type="num" val="5"/>
        <cfvo type="num" val="10"/>
        <color theme="9" tint="-0.249977111117893"/>
        <color rgb="FFFFFF00"/>
        <color rgb="FFFF0000"/>
      </colorScale>
    </cfRule>
  </conditionalFormatting>
  <conditionalFormatting sqref="K3:K23">
    <cfRule type="colorScale" priority="3">
      <colorScale>
        <cfvo type="num" val="0"/>
        <cfvo type="num" val="50"/>
        <cfvo type="num" val="100"/>
        <color theme="9" tint="-0.249977111117893"/>
        <color rgb="FFFFFF00"/>
        <color rgb="FFFF0000"/>
      </colorScale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Diagramok</vt:lpstr>
      </vt:variant>
      <vt:variant>
        <vt:i4>1</vt:i4>
      </vt:variant>
    </vt:vector>
  </HeadingPairs>
  <TitlesOfParts>
    <vt:vector size="2" baseType="lpstr">
      <vt:lpstr>FMEA</vt:lpstr>
      <vt:lpstr>FMEA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Sági Péter Pál</dc:creator>
  <cp:lastModifiedBy>Sági Péter Pál</cp:lastModifiedBy>
  <dcterms:created xsi:type="dcterms:W3CDTF">2025-05-03T15:36:55Z</dcterms:created>
  <dcterms:modified xsi:type="dcterms:W3CDTF">2025-05-03T18:13:03Z</dcterms:modified>
</cp:coreProperties>
</file>